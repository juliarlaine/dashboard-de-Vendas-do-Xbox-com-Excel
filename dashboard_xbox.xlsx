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lialaine-my.sharepoint.com/personal/contato_julialaine_com_br/Documents/BOOTCAMP DADOS SANTANDER/"/>
    </mc:Choice>
  </mc:AlternateContent>
  <xr:revisionPtr revIDLastSave="5" documentId="8_{11D9CA2E-6A36-4B57-9E2B-4A4E2194A0B4}" xr6:coauthVersionLast="47" xr6:coauthVersionMax="47" xr10:uidLastSave="{33D6471C-7F9A-4076-ADB0-036793DC33EC}"/>
  <bookViews>
    <workbookView xWindow="-120" yWindow="-120" windowWidth="29040" windowHeight="15720" tabRatio="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3" l="1"/>
  <c r="G18" i="3"/>
  <c r="G22" i="3"/>
  <c r="G25" i="3"/>
  <c r="G3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<sst xmlns="http://schemas.openxmlformats.org/spreadsheetml/2006/main" count="2022" uniqueCount="324">
  <si>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</si>
  <si>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</si>
  <si>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</si>
  <si>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</si>
  <si>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</si>
  <si>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</si>
  <si>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</si>
  <si>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</si>
  <si>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</si>
  <si>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</si>
  <si>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</si>
  <si>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</si>
  <si>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</si>
  <si>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</si>
  <si>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</si>
  <si>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</si>
  <si>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</si>
  <si>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</si>
  <si>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</si>
  <si>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</si>
  <si>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</si>
  <si>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</si>
  <si>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</si>
  <si>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</si>
  <si>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</si>
  <si>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</si>
  <si>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</si>
  <si>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</si>
  <si>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</si>
  <si>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</si>
  <si>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</si>
  <si>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</si>
  <si>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</si>
  <si>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</si>
  <si>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</si>
  <si>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</si>
  <si>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</si>
  <si>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</si>
  <si>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</si>
  <si>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</si>
  <si>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</si>
  <si>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</si>
  <si>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</si>
  <si>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</si>
  <si>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</si>
  <si>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</si>
  <si>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</si>
  <si>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</si>
  <si>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</si>
  <si>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</si>
  <si>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</si>
  <si>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</si>
  <si>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</si>
  <si>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</si>
  <si>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</si>
  <si>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</si>
  <si>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</si>
  <si>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</si>
  <si>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</si>
  <si>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</si>
  <si>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</si>
  <si>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</si>
  <si>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</si>
  <si>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</si>
  <si>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</si>
  <si>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</si>
  <si>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</si>
  <si>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</si>
  <si>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</si>
  <si>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</si>
  <si>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</si>
  <si>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</si>
  <si>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</si>
  <si>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</si>
  <si>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</si>
  <si>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</si>
  <si>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</si>
  <si>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</si>
  <si>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</si>
  <si>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</si>
  <si>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</si>
  <si>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</si>
  <si>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</si>
  <si>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</si>
  <si>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</si>
  <si>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</si>
  <si>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</si>
  <si>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</si>
  <si>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</si>
  <si>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</si>
  <si>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</si>
  <si>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</si>
  <si>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</si>
  <si>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</si>
  <si>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</si>
  <si>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</si>
  <si>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</si>
  <si>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</si>
  <si>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</si>
  <si>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</si>
  <si>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</si>
  <si>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</si>
  <si>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</si>
  <si>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</si>
  <si>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</si>
  <si>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</si>
  <si>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</si>
  <si>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</si>
  <si>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</si>
  <si>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</si>
  <si>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</si>
  <si>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</si>
  <si>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</si>
  <si>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</si>
  <si>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</si>
  <si>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</si>
  <si>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</si>
  <si>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</si>
  <si>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</si>
  <si>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</si>
  <si>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</si>
  <si>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</si>
  <si>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</si>
  <si>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</si>
  <si>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</si>
  <si>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</si>
  <si>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</si>
  <si>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</si>
  <si>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</si>
  <si>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</si>
  <si>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</si>
  <si>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</si>
  <si>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</si>
  <si>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</si>
  <si>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</si>
  <si>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</si>
  <si>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</si>
  <si>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</si>
  <si>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</si>
  <si>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</si>
  <si>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</si>
  <si>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</si>
  <si>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</si>
  <si>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</si>
  <si>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</si>
  <si>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</si>
  <si>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</si>
  <si>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</si>
  <si>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</si>
  <si>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</si>
  <si>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</si>
  <si>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</si>
  <si>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</si>
  <si>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</si>
  <si>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</si>
  <si>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</si>
  <si>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</si>
  <si>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</si>
  <si>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</si>
  <si>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</si>
  <si>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</si>
  <si>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</si>
  <si>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</si>
  <si>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</si>
  <si>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</si>
  <si>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</si>
  <si>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</si>
  <si>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</si>
  <si>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</si>
  <si>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</si>
  <si>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</si>
  <si>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</si>
  <si>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</si>
  <si>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</si>
  <si>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</si>
  <si>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</si>
  <si>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</si>
  <si>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</si>
  <si>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</si>
  <si>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</si>
  <si>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</si>
  <si>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</si>
  <si>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</si>
  <si>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</si>
  <si>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</si>
  <si>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</si>
  <si>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</si>
  <si>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</si>
  <si>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</si>
  <si>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</si>
  <si>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</si>
  <si>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</si>
  <si>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</si>
  <si>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</si>
  <si>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</si>
  <si>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</si>
  <si>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</si>
  <si>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</si>
  <si>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</si>
  <si>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</si>
  <si>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</si>
  <si>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</si>
  <si>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</si>
  <si>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</si>
  <si>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</si>
  <si>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</si>
  <si>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</si>
  <si>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</si>
  <si>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</si>
  <si>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</si>
  <si>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</si>
  <si>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</si>
  <si>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</si>
  <si>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</si>
  <si>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</si>
  <si>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</si>
  <si>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</si>
  <si>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</si>
  <si>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</si>
  <si>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</si>
  <si>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</si>
  <si>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</si>
  <si>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</si>
  <si>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</si>
  <si>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</si>
  <si>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</si>
  <si>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</si>
  <si>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</si>
  <si>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</si>
  <si>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</si>
  <si>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</si>
  <si>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</si>
  <si>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</si>
  <si>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</si>
  <si>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</si>
  <si>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</si>
  <si>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</si>
  <si>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</si>
  <si>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</si>
  <si>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</si>
  <si>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</si>
  <si>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</si>
  <si>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</si>
  <si>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</si>
  <si>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</si>
  <si>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</si>
  <si>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</si>
  <si>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</si>
  <si>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</si>
  <si>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</si>
  <si>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</si>
  <si>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</si>
  <si>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</si>
  <si>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</si>
  <si>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</si>
  <si>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</si>
  <si>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</si>
  <si>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</si>
  <si>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</si>
  <si>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</si>
  <si>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</si>
  <si>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</si>
  <si>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</si>
  <si>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</si>
  <si>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</si>
  <si>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</si>
  <si>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</si>
  <si>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</si>
  <si>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</si>
  <si>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</si>
  <si>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</si>
  <si>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</si>
  <si>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</si>
  <si>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</si>
  <si>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</si>
  <si>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</si>
  <si>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</si>
  <si>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</si>
  <si>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</si>
  <si>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</si>
  <si>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</si>
  <si>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</si>
  <si>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</si>
  <si>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</si>
  <si>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</si>
  <si>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</si>
  <si>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</si>
  <si>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</si>
  <si>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</si>
  <si>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</si>
  <si>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</si>
  <si>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</si>
  <si>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</si>
  <si>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</si>
  <si>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</si>
  <si>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</si>
  <si>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</si>
  <si>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</si>
  <si>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</si>
  <si>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</si>
  <si>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</si>
  <si>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</si>
  <si>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</si>
  <si>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</si>
  <si>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</si>
  <si>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</si>
  <si>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</si>
  <si>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</si>
  <si>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</si>
  <si>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</si>
  <si>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</si>
  <si>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</si>
  <si>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</si>
  <si>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</si>
  <si>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</si>
  <si>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</si>
  <si>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Qual o Faturamento Total de vendas de planos anuais (contendo todas as assinaturas agregadas)</t>
  </si>
  <si>
    <t>Qual o Faturamento Total de vendas de planos anuais, separado por auto renovação (sim ou não)</t>
  </si>
  <si>
    <t>É uma pergunta de negócio respondida através de alguma análise de dados específica</t>
  </si>
  <si>
    <t>XBOX GAME PASS SUBSCRIPTIONS SALES</t>
  </si>
  <si>
    <t>3- Total de Vendas de assinaturas do EA Play</t>
  </si>
  <si>
    <t>Soma de EA Play Season Pass</t>
  </si>
  <si>
    <t>4-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</si>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</sst>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7F8FC"/>
      <name val="Aptos Narrow"/>
      <family val="2"/>
      <scheme val="minor"/>
    </font>
    <font>
      <sz val="11"/>
      <color theme="1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3" borderId="0" xfId="0" applyFont="1" applyFill="1"/>
    <xf numFmtId="0" fontId="0" fillId="0" borderId="0" xfId="0" applyFill="1"/>
    <xf numFmtId="0" fontId="1" fillId="0" borderId="2" xfId="1" applyBorder="1"/>
    <xf numFmtId="0" fontId="0" fillId="0" borderId="2" xfId="0" applyBorder="1"/>
    <xf numFmtId="0" fontId="0" fillId="0" borderId="0" xfId="0" applyNumberFormat="1"/>
    <xf numFmtId="44" fontId="0" fillId="0" borderId="0" xfId="2" applyFont="1"/>
    <xf numFmtId="0" fontId="5" fillId="0" borderId="2" xfId="0" applyFont="1" applyBorder="1"/>
    <xf numFmtId="0" fontId="6" fillId="0" borderId="2" xfId="1" applyFont="1" applyBorder="1" applyAlignment="1">
      <alignment horizontal="left" indent="8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BD5CC1C3-BFE8-4269-B9FB-501FD6E45F01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F7F8FC"/>
      <color rgb="FF9BC848"/>
      <color rgb="FF000000"/>
      <color rgb="FFE0E0E0"/>
      <color rgb="FFEDEDED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[dashboard_xbox.xlsx]C̳álculos!tbl_anual_total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6498375946704936E-2"/>
          <c:y val="3.4741236230956353E-2"/>
          <c:w val="0.89605704871826652"/>
          <c:h val="0.93051752753808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46-4417-B94D-FFF8EF40392D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46-4417-B94D-FFF8EF4039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C̳álculos!$D$12:$D$14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C̳álculos!$E$12:$E$14</c:f>
              <c:numCache>
                <c:formatCode>_("R$"* #,##0.00_);_("R$"* \(#,##0.00\);_("R$"* "-"??_);_(@_)</c:formatCode>
                <c:ptCount val="2"/>
                <c:pt idx="0">
                  <c:v>2820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46-4417-B94D-FFF8EF403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3891327"/>
        <c:axId val="1413887967"/>
      </c:barChart>
      <c:catAx>
        <c:axId val="1413891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3887967"/>
        <c:crosses val="autoZero"/>
        <c:auto val="1"/>
        <c:lblAlgn val="ctr"/>
        <c:lblOffset val="100"/>
        <c:noMultiLvlLbl val="0"/>
      </c:catAx>
      <c:valAx>
        <c:axId val="141388796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1389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92868</xdr:colOff>
      <xdr:row>1</xdr:row>
      <xdr:rowOff>90489</xdr:rowOff>
    </xdr:from>
    <xdr:to>
      <xdr:col>2</xdr:col>
      <xdr:colOff>557212</xdr:colOff>
      <xdr:row>2</xdr:row>
      <xdr:rowOff>69626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E5154E-3855-4B11-A60A-E27E07C3F3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5" t="20965" r="73597" b="24291"/>
        <a:stretch>
          <a:fillRect/>
        </a:stretch>
      </xdr:blipFill>
      <xdr:spPr>
        <a:xfrm>
          <a:off x="2150268" y="280989"/>
          <a:ext cx="464344" cy="474437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12</xdr:row>
      <xdr:rowOff>166686</xdr:rowOff>
    </xdr:from>
    <xdr:to>
      <xdr:col>20</xdr:col>
      <xdr:colOff>321469</xdr:colOff>
      <xdr:row>37</xdr:row>
      <xdr:rowOff>107155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B6869695-8CD4-53A4-18E7-7EBC8765FDBC}"/>
            </a:ext>
          </a:extLst>
        </xdr:cNvPr>
        <xdr:cNvGrpSpPr/>
      </xdr:nvGrpSpPr>
      <xdr:grpSpPr>
        <a:xfrm>
          <a:off x="2200275" y="2900361"/>
          <a:ext cx="10979944" cy="4702969"/>
          <a:chOff x="1869281" y="1297780"/>
          <a:chExt cx="5209186" cy="3208326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1E711FAA-9262-C4D1-3A45-A108A7F0CAF9}"/>
              </a:ext>
            </a:extLst>
          </xdr:cNvPr>
          <xdr:cNvSpPr/>
        </xdr:nvSpPr>
        <xdr:spPr>
          <a:xfrm>
            <a:off x="1869281" y="1297780"/>
            <a:ext cx="5209186" cy="3208326"/>
          </a:xfrm>
          <a:prstGeom prst="roundRect">
            <a:avLst>
              <a:gd name="adj" fmla="val 542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6CA3F71D-0617-4058-AFAD-A2B8D249590E}"/>
              </a:ext>
            </a:extLst>
          </xdr:cNvPr>
          <xdr:cNvGraphicFramePr>
            <a:graphicFrameLocks/>
          </xdr:cNvGraphicFramePr>
        </xdr:nvGraphicFramePr>
        <xdr:xfrm>
          <a:off x="2109451" y="1660513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6</xdr:row>
      <xdr:rowOff>83343</xdr:rowOff>
    </xdr:from>
    <xdr:to>
      <xdr:col>1</xdr:col>
      <xdr:colOff>0</xdr:colOff>
      <xdr:row>19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6CCDB0D-CC3B-4AE5-A303-458B1067BA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5418"/>
              <a:ext cx="1819275" cy="26693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345281</xdr:colOff>
      <xdr:row>6</xdr:row>
      <xdr:rowOff>254716</xdr:rowOff>
    </xdr:from>
    <xdr:to>
      <xdr:col>10</xdr:col>
      <xdr:colOff>154781</xdr:colOff>
      <xdr:row>11</xdr:row>
      <xdr:rowOff>162003</xdr:rowOff>
    </xdr:to>
    <xdr:sp macro="" textlink="C̳álculos!U40">
      <xdr:nvSpPr>
        <xdr:cNvPr id="9" name="Retângulo: Cantos Arredondados 8">
          <a:extLst>
            <a:ext uri="{FF2B5EF4-FFF2-40B4-BE49-F238E27FC236}">
              <a16:creationId xmlns:a16="http://schemas.microsoft.com/office/drawing/2014/main" id="{1A1992B1-E573-41E2-AB03-EA0E28A3380E}"/>
            </a:ext>
          </a:extLst>
        </xdr:cNvPr>
        <xdr:cNvSpPr/>
      </xdr:nvSpPr>
      <xdr:spPr>
        <a:xfrm>
          <a:off x="4226719" y="1612029"/>
          <a:ext cx="2845593" cy="1086005"/>
        </a:xfrm>
        <a:prstGeom prst="roundRect">
          <a:avLst>
            <a:gd name="adj" fmla="val 10361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961CE23-8D2C-4C3D-9704-5FE63EFD5E3B}" type="TxLink">
            <a:rPr lang="en-US" sz="2800" b="0" i="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</a:t>
          </a:fld>
          <a:endParaRPr lang="pt-BR" sz="2800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83344</xdr:colOff>
      <xdr:row>5</xdr:row>
      <xdr:rowOff>83344</xdr:rowOff>
    </xdr:from>
    <xdr:to>
      <xdr:col>10</xdr:col>
      <xdr:colOff>154781</xdr:colOff>
      <xdr:row>12</xdr:row>
      <xdr:rowOff>38100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60166E5E-2502-A0A8-2368-631B695607CB}"/>
            </a:ext>
          </a:extLst>
        </xdr:cNvPr>
        <xdr:cNvGrpSpPr/>
      </xdr:nvGrpSpPr>
      <xdr:grpSpPr>
        <a:xfrm>
          <a:off x="2140744" y="1321594"/>
          <a:ext cx="4948237" cy="1450181"/>
          <a:chOff x="2143125" y="1321594"/>
          <a:chExt cx="4929187" cy="1443037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C97C92D9-7825-6542-6D39-70B22925582A}"/>
              </a:ext>
            </a:extLst>
          </xdr:cNvPr>
          <xdr:cNvSpPr/>
        </xdr:nvSpPr>
        <xdr:spPr>
          <a:xfrm>
            <a:off x="2143125" y="1333500"/>
            <a:ext cx="4929187" cy="1321594"/>
          </a:xfrm>
          <a:prstGeom prst="roundRect">
            <a:avLst>
              <a:gd name="adj" fmla="val 1036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28B7E3BD-0B38-4016-859A-1DA80DB2AC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66963" y="1545431"/>
            <a:ext cx="1219200" cy="121920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7A37D72A-9605-3AC6-273A-557965836298}"/>
              </a:ext>
            </a:extLst>
          </xdr:cNvPr>
          <xdr:cNvSpPr/>
        </xdr:nvSpPr>
        <xdr:spPr>
          <a:xfrm>
            <a:off x="2143125" y="1321594"/>
            <a:ext cx="4929187" cy="381000"/>
          </a:xfrm>
          <a:prstGeom prst="round2Same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G25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A6448FA1-DDA5-8C72-81E0-D80D2BC7A375}"/>
              </a:ext>
            </a:extLst>
          </xdr:cNvPr>
          <xdr:cNvSpPr/>
        </xdr:nvSpPr>
        <xdr:spPr>
          <a:xfrm>
            <a:off x="4702968" y="1857375"/>
            <a:ext cx="2071688" cy="58340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ED1CA70-910C-4A50-A1C0-71949B650F30}" type="TxLink">
              <a:rPr lang="en-US" sz="28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2800" b="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12</xdr:col>
      <xdr:colOff>261938</xdr:colOff>
      <xdr:row>5</xdr:row>
      <xdr:rowOff>83344</xdr:rowOff>
    </xdr:from>
    <xdr:to>
      <xdr:col>20</xdr:col>
      <xdr:colOff>333375</xdr:colOff>
      <xdr:row>11</xdr:row>
      <xdr:rowOff>119063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316B03ED-1E6F-9794-C189-F362BE2B79F5}"/>
            </a:ext>
          </a:extLst>
        </xdr:cNvPr>
        <xdr:cNvGrpSpPr/>
      </xdr:nvGrpSpPr>
      <xdr:grpSpPr>
        <a:xfrm>
          <a:off x="8243888" y="1321594"/>
          <a:ext cx="4948237" cy="1340644"/>
          <a:chOff x="7477125" y="1333500"/>
          <a:chExt cx="4929187" cy="1333500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17001DBB-5940-DE20-B074-D0D0C1146B8A}"/>
              </a:ext>
            </a:extLst>
          </xdr:cNvPr>
          <xdr:cNvGrpSpPr/>
        </xdr:nvGrpSpPr>
        <xdr:grpSpPr>
          <a:xfrm>
            <a:off x="7477125" y="1333500"/>
            <a:ext cx="4929187" cy="1333500"/>
            <a:chOff x="2143125" y="1321594"/>
            <a:chExt cx="4929187" cy="1333500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B1225F08-85BF-1D07-393B-120781F68DED}"/>
                </a:ext>
              </a:extLst>
            </xdr:cNvPr>
            <xdr:cNvSpPr/>
          </xdr:nvSpPr>
          <xdr:spPr>
            <a:xfrm>
              <a:off x="2143125" y="1333500"/>
              <a:ext cx="4929187" cy="1321594"/>
            </a:xfrm>
            <a:prstGeom prst="roundRect">
              <a:avLst>
                <a:gd name="adj" fmla="val 1036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70F787F4-7F90-7851-FCEC-141FCD4B6F3B}"/>
                </a:ext>
              </a:extLst>
            </xdr:cNvPr>
            <xdr:cNvSpPr/>
          </xdr:nvSpPr>
          <xdr:spPr>
            <a:xfrm>
              <a:off x="2143125" y="1321594"/>
              <a:ext cx="4929187" cy="381000"/>
            </a:xfrm>
            <a:prstGeom prst="round2SameRect">
              <a:avLst/>
            </a:prstGeom>
            <a:solidFill>
              <a:srgbClr val="22C55E"/>
            </a:solidFill>
            <a:ln>
              <a:solidFill>
                <a:srgbClr val="22C55E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G35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05F37C75-CF8F-403E-4A99-4AAC423B3C29}"/>
                </a:ext>
              </a:extLst>
            </xdr:cNvPr>
            <xdr:cNvSpPr/>
          </xdr:nvSpPr>
          <xdr:spPr>
            <a:xfrm>
              <a:off x="4310062" y="1857375"/>
              <a:ext cx="2464594" cy="583407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4550C5A-2931-4E39-AD03-CEFD02A0961B}" type="TxLink">
                <a:rPr lang="en-US" sz="28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R$ 1.800,00 </a:t>
              </a:fld>
              <a:endParaRPr lang="pt-BR" sz="2800" b="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29644F01-8FB1-4A3F-B309-8D29BF8B30E2}"/>
              </a:ext>
            </a:extLst>
          </xdr:cNvPr>
          <xdr:cNvGrpSpPr/>
        </xdr:nvGrpSpPr>
        <xdr:grpSpPr>
          <a:xfrm>
            <a:off x="7834313" y="1869281"/>
            <a:ext cx="1274884" cy="619125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0285FEEA-2F2C-1DE8-383F-01BBE9093D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875FBA0F-D11E-982B-5139-2EB88C0D37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142875</xdr:colOff>
      <xdr:row>12</xdr:row>
      <xdr:rowOff>166687</xdr:rowOff>
    </xdr:from>
    <xdr:to>
      <xdr:col>20</xdr:col>
      <xdr:colOff>321469</xdr:colOff>
      <xdr:row>14</xdr:row>
      <xdr:rowOff>166687</xdr:rowOff>
    </xdr:to>
    <xdr:sp macro="" textlink="">
      <xdr:nvSpPr>
        <xdr:cNvPr id="24" name="Retângulo: Cantos Superiores Arredondados 23">
          <a:extLst>
            <a:ext uri="{FF2B5EF4-FFF2-40B4-BE49-F238E27FC236}">
              <a16:creationId xmlns:a16="http://schemas.microsoft.com/office/drawing/2014/main" id="{CC8A6128-E527-4D82-8239-CFA106D0EC85}"/>
            </a:ext>
          </a:extLst>
        </xdr:cNvPr>
        <xdr:cNvSpPr/>
      </xdr:nvSpPr>
      <xdr:spPr>
        <a:xfrm>
          <a:off x="2202656" y="2893218"/>
          <a:ext cx="10941844" cy="381000"/>
        </a:xfrm>
        <a:prstGeom prst="round2Same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SUBSCRIPTIONS XBOX GAME PASS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154782</xdr:colOff>
      <xdr:row>1</xdr:row>
      <xdr:rowOff>23813</xdr:rowOff>
    </xdr:from>
    <xdr:to>
      <xdr:col>0</xdr:col>
      <xdr:colOff>714376</xdr:colOff>
      <xdr:row>2</xdr:row>
      <xdr:rowOff>83344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48CAE7D1-4B7F-4337-9511-437349B3D6B0}"/>
            </a:ext>
          </a:extLst>
        </xdr:cNvPr>
        <xdr:cNvSpPr/>
      </xdr:nvSpPr>
      <xdr:spPr>
        <a:xfrm>
          <a:off x="154782" y="214313"/>
          <a:ext cx="559594" cy="55959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71438</xdr:colOff>
      <xdr:row>2</xdr:row>
      <xdr:rowOff>261938</xdr:rowOff>
    </xdr:from>
    <xdr:to>
      <xdr:col>0</xdr:col>
      <xdr:colOff>1476375</xdr:colOff>
      <xdr:row>5</xdr:row>
      <xdr:rowOff>107157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D755C677-4E8F-190F-835B-21E79E251727}"/>
            </a:ext>
          </a:extLst>
        </xdr:cNvPr>
        <xdr:cNvSpPr/>
      </xdr:nvSpPr>
      <xdr:spPr>
        <a:xfrm>
          <a:off x="71438" y="952501"/>
          <a:ext cx="1404937" cy="3929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Bem vinda, Liana</a:t>
          </a:r>
        </a:p>
      </xdr:txBody>
    </xdr:sp>
    <xdr:clientData/>
  </xdr:twoCellAnchor>
  <xdr:twoCellAnchor>
    <xdr:from>
      <xdr:col>1</xdr:col>
      <xdr:colOff>223838</xdr:colOff>
      <xdr:row>2</xdr:row>
      <xdr:rowOff>300038</xdr:rowOff>
    </xdr:from>
    <xdr:to>
      <xdr:col>8</xdr:col>
      <xdr:colOff>57150</xdr:colOff>
      <xdr:row>4</xdr:row>
      <xdr:rowOff>123825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52CEC847-B1B8-1CA7-650F-8994F8448B23}"/>
            </a:ext>
          </a:extLst>
        </xdr:cNvPr>
        <xdr:cNvSpPr/>
      </xdr:nvSpPr>
      <xdr:spPr>
        <a:xfrm>
          <a:off x="2043113" y="985838"/>
          <a:ext cx="3729037" cy="24288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800" b="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</a:t>
          </a:r>
          <a:r>
            <a:rPr lang="pt-BR" sz="800" b="0" baseline="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800" b="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01/01/2024</a:t>
          </a:r>
          <a:r>
            <a:rPr lang="pt-BR" sz="800" b="0" baseline="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- 31/12/2024 / Update date: 25/12/2024</a:t>
          </a:r>
          <a:endParaRPr lang="pt-BR" sz="800" b="0">
            <a:solidFill>
              <a:schemeClr val="bg1">
                <a:lumMod val="6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" refreshedDate="46025.805382523147" createdVersion="8" refreshedVersion="8" minRefreshableVersion="3" recordCount="293" xr:uid="{3DB5F570-C9BB-4555-9EDD-EEAF2BB12DF3}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 count="278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444945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2802E-0092-462D-9B28-433D82D6DF0E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D31:E35" firstHeaderRow="1" firstDataRow="1" firstDataCol="1" rowPageCount="1" colPageCount="1"/>
  <pivotFields count="13">
    <pivotField showAll="0"/>
    <pivotField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716E7-8B2A-4D7C-8FEC-B8C57B77A089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D21:E25" firstHeaderRow="1" firstDataRow="1" firstDataCol="1" rowPageCount="1" colPageCount="1"/>
  <pivotFields count="13">
    <pivotField showAll="0"/>
    <pivotField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20D61-6F44-4562-9EE5-0A27775FDE4B}" name="tbl_a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D11:E14" firstHeaderRow="1" firstDataRow="1" firstDataCol="1" rowPageCount="1" colPageCount="1"/>
  <pivotFields count="13">
    <pivotField showAll="0"/>
    <pivotField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BEAD5A8-824A-47F4-BB32-0575EA678C36}" sourceName="Subscription Type">
  <pivotTables>
    <pivotTable tabId="3" name="tbl_anual_total"/>
    <pivotTable tabId="3" name="tbl_easeasonpass_total"/>
    <pivotTable tabId="3" name="Tabela dinâmica3"/>
  </pivotTables>
  <data>
    <tabular pivotCacheId="544494581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9C19162-6FD9-49E9-B6A2-A1FA2AA96383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G35" sqref="G3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G35" sqref="G3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D3:G35"/>
  <sheetViews>
    <sheetView showGridLines="0" workbookViewId="0">
      <selection activeCell="G35" sqref="G35"/>
    </sheetView>
  </sheetViews>
  <sheetFormatPr defaultRowHeight="15" x14ac:dyDescent="0.25"/>
  <cols>
    <col min="1" max="1" width="4.42578125" customWidth="1"/>
    <col min="2" max="2" width="5" customWidth="1"/>
    <col min="3" max="3" width="5.140625" customWidth="1"/>
    <col min="4" max="4" width="18.42578125" bestFit="1" customWidth="1"/>
    <col min="5" max="5" width="35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4:7" x14ac:dyDescent="0.25">
      <c r="D3" s="15" t="s">
        <v>318</v>
      </c>
      <c r="E3" s="15"/>
      <c r="F3" s="15"/>
      <c r="G3" s="15"/>
    </row>
    <row r="6" spans="4:7" x14ac:dyDescent="0.25">
      <c r="D6" s="13" t="s">
        <v>316</v>
      </c>
    </row>
    <row r="7" spans="4:7" x14ac:dyDescent="0.25">
      <c r="D7" s="13" t="s">
        <v>317</v>
      </c>
    </row>
    <row r="9" spans="4:7" x14ac:dyDescent="0.25">
      <c r="D9" s="12" t="s">
        <v>16</v>
      </c>
      <c r="E9" t="s">
        <v>20</v>
      </c>
    </row>
    <row r="11" spans="4:7" x14ac:dyDescent="0.25">
      <c r="D11" s="12" t="s">
        <v>313</v>
      </c>
      <c r="E11" t="s">
        <v>315</v>
      </c>
    </row>
    <row r="12" spans="4:7" x14ac:dyDescent="0.25">
      <c r="D12" s="13" t="s">
        <v>23</v>
      </c>
      <c r="E12" s="14">
        <v>2820</v>
      </c>
    </row>
    <row r="13" spans="4:7" x14ac:dyDescent="0.25">
      <c r="D13" s="13" t="s">
        <v>19</v>
      </c>
      <c r="E13" s="14">
        <v>747</v>
      </c>
    </row>
    <row r="14" spans="4:7" x14ac:dyDescent="0.25">
      <c r="D14" s="13" t="s">
        <v>314</v>
      </c>
      <c r="E14" s="14">
        <v>3567</v>
      </c>
    </row>
    <row r="17" spans="4:7" x14ac:dyDescent="0.25">
      <c r="D17" s="13" t="s">
        <v>320</v>
      </c>
    </row>
    <row r="18" spans="4:7" x14ac:dyDescent="0.25">
      <c r="G18">
        <f>GETPIVOTDATA("EA Play Season Pass
Price",$D$21)</f>
        <v>1350</v>
      </c>
    </row>
    <row r="19" spans="4:7" x14ac:dyDescent="0.25">
      <c r="D19" s="12" t="s">
        <v>16</v>
      </c>
      <c r="E19" t="s">
        <v>20</v>
      </c>
    </row>
    <row r="21" spans="4:7" x14ac:dyDescent="0.25">
      <c r="D21" s="12" t="s">
        <v>313</v>
      </c>
      <c r="E21" t="s">
        <v>321</v>
      </c>
    </row>
    <row r="22" spans="4:7" x14ac:dyDescent="0.25">
      <c r="D22" s="13" t="s">
        <v>22</v>
      </c>
      <c r="E22" s="19">
        <v>0</v>
      </c>
      <c r="G22">
        <f>GETPIVOTDATA("EA Play Season Pass
Price",$D$21)</f>
        <v>1350</v>
      </c>
    </row>
    <row r="23" spans="4:7" x14ac:dyDescent="0.25">
      <c r="D23" s="13" t="s">
        <v>26</v>
      </c>
      <c r="E23" s="19">
        <v>0</v>
      </c>
    </row>
    <row r="24" spans="4:7" x14ac:dyDescent="0.25">
      <c r="D24" s="13" t="s">
        <v>18</v>
      </c>
      <c r="E24" s="19">
        <v>1350</v>
      </c>
    </row>
    <row r="25" spans="4:7" x14ac:dyDescent="0.25">
      <c r="D25" s="13" t="s">
        <v>314</v>
      </c>
      <c r="E25" s="19">
        <v>1350</v>
      </c>
      <c r="G25" s="20">
        <f>GETPIVOTDATA("EA Play Season Pass
Price",$D$21)</f>
        <v>1350</v>
      </c>
    </row>
    <row r="27" spans="4:7" x14ac:dyDescent="0.25">
      <c r="D27" s="13" t="s">
        <v>322</v>
      </c>
    </row>
    <row r="29" spans="4:7" x14ac:dyDescent="0.25">
      <c r="D29" s="12" t="s">
        <v>16</v>
      </c>
      <c r="E29" t="s">
        <v>20</v>
      </c>
    </row>
    <row r="31" spans="4:7" x14ac:dyDescent="0.25">
      <c r="D31" s="12" t="s">
        <v>313</v>
      </c>
      <c r="E31" t="s">
        <v>323</v>
      </c>
    </row>
    <row r="32" spans="4:7" x14ac:dyDescent="0.25">
      <c r="D32" s="13" t="s">
        <v>22</v>
      </c>
      <c r="E32" s="14">
        <v>0</v>
      </c>
      <c r="G32">
        <f>GETPIVOTDATA("Minecraft Season Pass Price",$D$31)</f>
        <v>1800</v>
      </c>
    </row>
    <row r="33" spans="4:7" x14ac:dyDescent="0.25">
      <c r="D33" s="13" t="s">
        <v>26</v>
      </c>
      <c r="E33" s="14">
        <v>900</v>
      </c>
    </row>
    <row r="34" spans="4:7" x14ac:dyDescent="0.25">
      <c r="D34" s="13" t="s">
        <v>18</v>
      </c>
      <c r="E34" s="14">
        <v>900</v>
      </c>
    </row>
    <row r="35" spans="4:7" x14ac:dyDescent="0.25">
      <c r="D35" s="13" t="s">
        <v>314</v>
      </c>
      <c r="E35" s="14">
        <v>1800</v>
      </c>
      <c r="G35" s="20">
        <f>GETPIVOTDATA("Minecraft Season Pass Price",$D$31)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U194"/>
  <sheetViews>
    <sheetView showGridLines="0" showRowColHeaders="0" tabSelected="1" zoomScaleNormal="100" workbookViewId="0">
      <selection activeCell="J5" sqref="J5"/>
    </sheetView>
  </sheetViews>
  <sheetFormatPr defaultRowHeight="15" x14ac:dyDescent="0.25"/>
  <cols>
    <col min="1" max="1" width="27.28515625" style="4" customWidth="1"/>
    <col min="2" max="2" width="3.5703125" customWidth="1"/>
    <col min="12" max="12" width="6.5703125" customWidth="1"/>
    <col min="21" max="21" width="5.140625" customWidth="1"/>
  </cols>
  <sheetData>
    <row r="2" spans="1:21" ht="39" customHeight="1" thickBot="1" x14ac:dyDescent="0.5">
      <c r="C2" s="22" t="s">
        <v>319</v>
      </c>
      <c r="D2" s="17"/>
      <c r="E2" s="17"/>
      <c r="F2" s="17"/>
      <c r="G2" s="17"/>
      <c r="H2" s="17"/>
      <c r="I2" s="18"/>
      <c r="J2" s="18"/>
      <c r="K2" s="18"/>
      <c r="L2" s="18"/>
      <c r="M2" s="18"/>
      <c r="N2" s="21"/>
      <c r="O2" s="18"/>
      <c r="P2" s="18"/>
      <c r="Q2" s="18"/>
      <c r="R2" s="18"/>
      <c r="S2" s="18"/>
      <c r="T2" s="18"/>
      <c r="U2" s="18"/>
    </row>
    <row r="3" spans="1:21" s="16" customFormat="1" ht="25.5" customHeight="1" thickTop="1" x14ac:dyDescent="0.25">
      <c r="A3" s="4"/>
    </row>
    <row r="4" spans="1:21" s="7" customFormat="1" ht="7.5" customHeight="1" x14ac:dyDescent="0.25">
      <c r="A4" s="4"/>
    </row>
    <row r="5" spans="1:21" s="7" customFormat="1" ht="10.5" customHeight="1" x14ac:dyDescent="0.25">
      <c r="A5" s="4"/>
    </row>
    <row r="6" spans="1:21" s="7" customFormat="1" ht="9.75" customHeight="1" x14ac:dyDescent="0.25">
      <c r="A6" s="4"/>
    </row>
    <row r="7" spans="1:21" s="7" customFormat="1" ht="33" customHeight="1" x14ac:dyDescent="0.25">
      <c r="A7" s="4"/>
    </row>
    <row r="8" spans="1:21" s="7" customFormat="1" x14ac:dyDescent="0.25">
      <c r="A8" s="4"/>
    </row>
    <row r="9" spans="1:21" s="7" customFormat="1" x14ac:dyDescent="0.25">
      <c r="A9" s="4"/>
    </row>
    <row r="10" spans="1:21" s="7" customFormat="1" x14ac:dyDescent="0.25">
      <c r="A10" s="4"/>
    </row>
    <row r="11" spans="1:21" s="7" customFormat="1" x14ac:dyDescent="0.25">
      <c r="A11" s="4"/>
    </row>
    <row r="12" spans="1:21" s="7" customFormat="1" x14ac:dyDescent="0.25">
      <c r="A12" s="4"/>
    </row>
    <row r="13" spans="1:21" s="7" customFormat="1" x14ac:dyDescent="0.25">
      <c r="A13" s="4"/>
    </row>
    <row r="14" spans="1:21" s="7" customFormat="1" x14ac:dyDescent="0.25">
      <c r="A14" s="4"/>
    </row>
    <row r="15" spans="1:21" s="7" customFormat="1" x14ac:dyDescent="0.25">
      <c r="A15" s="4"/>
    </row>
    <row r="16" spans="1:21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Júlia Laine</cp:lastModifiedBy>
  <dcterms:created xsi:type="dcterms:W3CDTF">2024-12-19T13:13:10Z</dcterms:created>
  <dcterms:modified xsi:type="dcterms:W3CDTF">2026-01-03T23:29:28Z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